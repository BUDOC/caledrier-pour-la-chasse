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68" yWindow="384" windowWidth="21828" windowHeight="9012"/>
  </bookViews>
  <sheets>
    <sheet name="Feuil1" sheetId="1" r:id="rId1"/>
    <sheet name="Feuil2" sheetId="2" r:id="rId2"/>
    <sheet name="Feuil3" sheetId="3" r:id="rId3"/>
  </sheets>
  <definedNames>
    <definedName name="mois1">Feuil1!$B$6</definedName>
    <definedName name="mois2">Feuil1!$F$6</definedName>
    <definedName name="mois3">Feuil1!$J$6</definedName>
    <definedName name="mois4">Feuil1!$N$6</definedName>
    <definedName name="mois5">Feuil1!$R$6</definedName>
    <definedName name="mois6">Feuil1!$V$6</definedName>
    <definedName name="_xlnm.Print_Area" localSheetId="0">Feuil1!$A$1:$X$36</definedName>
  </definedNames>
  <calcPr calcId="144525"/>
</workbook>
</file>

<file path=xl/calcChain.xml><?xml version="1.0" encoding="utf-8"?>
<calcChain xmlns="http://schemas.openxmlformats.org/spreadsheetml/2006/main"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7" i="1"/>
  <c r="W6" i="1"/>
  <c r="S6" i="1"/>
  <c r="O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7" i="1"/>
  <c r="K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7" i="1"/>
  <c r="G6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7" i="1"/>
  <c r="C6" i="1"/>
  <c r="S2" i="1" l="1"/>
  <c r="B6" i="1"/>
  <c r="F6" i="1" s="1"/>
  <c r="B7" i="1" l="1"/>
  <c r="F7" i="1"/>
  <c r="J6" i="1"/>
  <c r="A5" i="1"/>
  <c r="E5" i="1"/>
  <c r="F8" i="1" l="1"/>
  <c r="J7" i="1"/>
  <c r="N6" i="1"/>
  <c r="I5" i="1"/>
  <c r="B8" i="1"/>
  <c r="F9" i="1" l="1"/>
  <c r="B9" i="1"/>
  <c r="N7" i="1"/>
  <c r="M5" i="1"/>
  <c r="R6" i="1"/>
  <c r="J8" i="1"/>
  <c r="F10" i="1" l="1"/>
  <c r="R7" i="1"/>
  <c r="Q5" i="1"/>
  <c r="V6" i="1"/>
  <c r="N8" i="1"/>
  <c r="J9" i="1"/>
  <c r="B10" i="1"/>
  <c r="F11" i="1"/>
  <c r="B11" i="1" l="1"/>
  <c r="R8" i="1"/>
  <c r="N9" i="1"/>
  <c r="V7" i="1"/>
  <c r="U5" i="1"/>
  <c r="J10" i="1"/>
  <c r="F12" i="1"/>
  <c r="N10" i="1" l="1"/>
  <c r="J11" i="1"/>
  <c r="R9" i="1"/>
  <c r="V8" i="1"/>
  <c r="B12" i="1"/>
  <c r="F13" i="1"/>
  <c r="B13" i="1" l="1"/>
  <c r="J12" i="1"/>
  <c r="R10" i="1"/>
  <c r="V9" i="1"/>
  <c r="N11" i="1"/>
  <c r="F14" i="1"/>
  <c r="B14" i="1" l="1"/>
  <c r="R11" i="1"/>
  <c r="N12" i="1"/>
  <c r="J13" i="1"/>
  <c r="V10" i="1"/>
  <c r="F15" i="1"/>
  <c r="V11" i="1" l="1"/>
  <c r="R12" i="1"/>
  <c r="N13" i="1"/>
  <c r="J14" i="1"/>
  <c r="B15" i="1"/>
  <c r="F16" i="1"/>
  <c r="B16" i="1" l="1"/>
  <c r="R13" i="1"/>
  <c r="N14" i="1"/>
  <c r="J15" i="1"/>
  <c r="V12" i="1"/>
  <c r="F17" i="1"/>
  <c r="V13" i="1" l="1"/>
  <c r="R14" i="1"/>
  <c r="N15" i="1"/>
  <c r="J16" i="1"/>
  <c r="B17" i="1"/>
  <c r="F18" i="1"/>
  <c r="B18" i="1" l="1"/>
  <c r="R15" i="1"/>
  <c r="N16" i="1"/>
  <c r="J17" i="1"/>
  <c r="V14" i="1"/>
  <c r="F19" i="1"/>
  <c r="V15" i="1" l="1"/>
  <c r="R16" i="1"/>
  <c r="N17" i="1"/>
  <c r="J18" i="1"/>
  <c r="B19" i="1"/>
  <c r="F20" i="1"/>
  <c r="N18" i="1" l="1"/>
  <c r="B20" i="1"/>
  <c r="R17" i="1"/>
  <c r="J19" i="1"/>
  <c r="V16" i="1"/>
  <c r="F21" i="1"/>
  <c r="R18" i="1" l="1"/>
  <c r="V17" i="1"/>
  <c r="B21" i="1"/>
  <c r="J20" i="1"/>
  <c r="N19" i="1"/>
  <c r="F22" i="1"/>
  <c r="B22" i="1" l="1"/>
  <c r="N20" i="1"/>
  <c r="V18" i="1"/>
  <c r="J21" i="1"/>
  <c r="R19" i="1"/>
  <c r="F23" i="1"/>
  <c r="V19" i="1" l="1"/>
  <c r="R20" i="1"/>
  <c r="N21" i="1"/>
  <c r="J22" i="1"/>
  <c r="B23" i="1"/>
  <c r="F24" i="1"/>
  <c r="N22" i="1" l="1"/>
  <c r="B24" i="1"/>
  <c r="R21" i="1"/>
  <c r="J23" i="1"/>
  <c r="V20" i="1"/>
  <c r="F25" i="1"/>
  <c r="R22" i="1" l="1"/>
  <c r="V21" i="1"/>
  <c r="B25" i="1"/>
  <c r="J24" i="1"/>
  <c r="N23" i="1"/>
  <c r="F26" i="1"/>
  <c r="B26" i="1" l="1"/>
  <c r="N24" i="1"/>
  <c r="V22" i="1"/>
  <c r="J25" i="1"/>
  <c r="R23" i="1"/>
  <c r="F27" i="1"/>
  <c r="V23" i="1" l="1"/>
  <c r="R24" i="1"/>
  <c r="N25" i="1"/>
  <c r="J26" i="1"/>
  <c r="B27" i="1"/>
  <c r="F28" i="1"/>
  <c r="N26" i="1" l="1"/>
  <c r="B28" i="1"/>
  <c r="R25" i="1"/>
  <c r="J27" i="1"/>
  <c r="V24" i="1"/>
  <c r="F29" i="1"/>
  <c r="R26" i="1" l="1"/>
  <c r="V25" i="1"/>
  <c r="B29" i="1"/>
  <c r="J28" i="1"/>
  <c r="N27" i="1"/>
  <c r="F30" i="1"/>
  <c r="B30" i="1" l="1"/>
  <c r="N28" i="1"/>
  <c r="V26" i="1"/>
  <c r="J29" i="1"/>
  <c r="R27" i="1"/>
  <c r="F31" i="1"/>
  <c r="V27" i="1" l="1"/>
  <c r="R28" i="1"/>
  <c r="N29" i="1"/>
  <c r="J30" i="1"/>
  <c r="B31" i="1"/>
  <c r="F32" i="1"/>
  <c r="N30" i="1" l="1"/>
  <c r="R29" i="1"/>
  <c r="B32" i="1"/>
  <c r="J31" i="1"/>
  <c r="V28" i="1"/>
  <c r="F33" i="1"/>
  <c r="B33" i="1" l="1"/>
  <c r="R30" i="1"/>
  <c r="J32" i="1"/>
  <c r="N31" i="1"/>
  <c r="V29" i="1"/>
  <c r="F34" i="1"/>
  <c r="J33" i="1" l="1"/>
  <c r="R31" i="1"/>
  <c r="V30" i="1"/>
  <c r="N32" i="1"/>
  <c r="B34" i="1"/>
  <c r="F35" i="1"/>
  <c r="V31" i="1" l="1"/>
  <c r="R32" i="1"/>
  <c r="B35" i="1"/>
  <c r="N33" i="1"/>
  <c r="J34" i="1"/>
  <c r="F36" i="1"/>
  <c r="B36" i="1" l="1"/>
  <c r="J35" i="1"/>
  <c r="R33" i="1"/>
  <c r="N34" i="1"/>
  <c r="V32" i="1"/>
  <c r="N35" i="1" l="1"/>
  <c r="R34" i="1"/>
  <c r="V33" i="1"/>
  <c r="J36" i="1"/>
  <c r="V34" i="1" l="1"/>
  <c r="R35" i="1"/>
  <c r="N36" i="1"/>
  <c r="R36" i="1" l="1"/>
  <c r="V35" i="1"/>
  <c r="V36" i="1" l="1"/>
</calcChain>
</file>

<file path=xl/sharedStrings.xml><?xml version="1.0" encoding="utf-8"?>
<sst xmlns="http://schemas.openxmlformats.org/spreadsheetml/2006/main" count="11" uniqueCount="3">
  <si>
    <t xml:space="preserve"> </t>
  </si>
  <si>
    <t xml:space="preserve">CALENDRIER SAISON CYNEGETIQUE 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</si>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</sst>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 vertical="center"/>
    </xf>
    <xf numFmtId="0" fontId="1" fillId="2" borderId="0" xfId="0" applyFont="1" applyFill="1"/>
    <xf numFmtId="0" fontId="1" fillId="0" borderId="0" xfId="0" applyFont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14" fontId="0" fillId="0" borderId="5" xfId="0" applyNumberFormat="1" applyBorder="1"/>
    <xf numFmtId="0" fontId="0" fillId="0" borderId="6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14" fontId="0" fillId="0" borderId="8" xfId="0" applyNumberFormat="1" applyBorder="1"/>
    <xf numFmtId="0" fontId="0" fillId="0" borderId="8" xfId="0" applyBorder="1"/>
    <xf numFmtId="0" fontId="0" fillId="0" borderId="9" xfId="0" applyBorder="1"/>
    <xf numFmtId="0" fontId="0" fillId="0" borderId="7" xfId="0" applyBorder="1" applyAlignment="1">
      <alignment horizontal="center" vertical="center"/>
    </xf>
    <xf numFmtId="0" fontId="4" fillId="0" borderId="8" xfId="0" applyFont="1" applyBorder="1"/>
    <xf numFmtId="0" fontId="4" fillId="0" borderId="1" xfId="0" applyFont="1" applyBorder="1"/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9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0</xdr:row>
          <xdr:rowOff>175260</xdr:rowOff>
        </xdr:from>
        <xdr:to>
          <xdr:col>3</xdr:col>
          <xdr:colOff>1257300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X36"/>
  <sheetViews>
    <sheetView tabSelected="1" topLeftCell="A2" zoomScale="53" zoomScaleNormal="53" workbookViewId="0">
      <selection activeCell="Y37" sqref="Y37"/>
    </sheetView>
  </sheetViews>
  <sheetFormatPr baseColWidth="10" defaultRowHeight="14.4" x14ac:dyDescent="0.3"/>
  <cols>
    <col min="1" max="1" width="4.77734375" style="1" customWidth="1"/>
    <col min="2" max="2" width="17" hidden="1" customWidth="1"/>
    <col min="3" max="3" width="8.77734375" customWidth="1"/>
    <col min="4" max="4" width="25.77734375" customWidth="1"/>
    <col min="5" max="5" width="4.77734375" style="1" customWidth="1"/>
    <col min="6" max="6" width="15.5546875" hidden="1" customWidth="1"/>
    <col min="7" max="7" width="8.77734375" customWidth="1"/>
    <col min="8" max="8" width="25.77734375" customWidth="1"/>
    <col min="9" max="9" width="4.77734375" style="5" customWidth="1"/>
    <col min="10" max="10" width="0" hidden="1" customWidth="1"/>
    <col min="11" max="11" width="8.77734375" customWidth="1"/>
    <col min="12" max="12" width="25.77734375" customWidth="1"/>
    <col min="13" max="13" width="4.77734375" customWidth="1"/>
    <col min="14" max="14" width="0" hidden="1" customWidth="1"/>
    <col min="15" max="15" width="8.77734375" customWidth="1"/>
    <col min="16" max="16" width="25.77734375" customWidth="1"/>
    <col min="17" max="17" width="4.77734375" customWidth="1"/>
    <col min="18" max="18" width="0" hidden="1" customWidth="1"/>
    <col min="19" max="19" width="8.77734375" customWidth="1"/>
    <col min="20" max="20" width="25.77734375" customWidth="1"/>
    <col min="21" max="21" width="4.77734375" customWidth="1"/>
    <col min="22" max="22" width="0" hidden="1" customWidth="1"/>
    <col min="23" max="23" width="8.77734375" customWidth="1"/>
    <col min="24" max="24" width="25.77734375" customWidth="1"/>
  </cols>
  <sheetData>
    <row r="1" spans="1:24" ht="21" customHeight="1" x14ac:dyDescent="0.3">
      <c r="A1" s="1" t="s">
        <v>0</v>
      </c>
    </row>
    <row r="2" spans="1:24" ht="25.8" x14ac:dyDescent="0.5">
      <c r="E2" s="7"/>
      <c r="F2" s="6"/>
      <c r="G2" s="6"/>
      <c r="H2" s="6" t="s">
        <v>1</v>
      </c>
      <c r="J2" s="6"/>
      <c r="M2" s="2"/>
      <c r="P2" s="9">
        <v>2027</v>
      </c>
      <c r="Q2" s="8" t="s">
        <v>2</v>
      </c>
      <c r="S2" s="28">
        <f>P2+1</f>
        <v>2028</v>
      </c>
      <c r="T2" s="28"/>
    </row>
    <row r="3" spans="1:24" ht="3.6" customHeight="1" thickBot="1" x14ac:dyDescent="0.35"/>
    <row r="4" spans="1:24" hidden="1" x14ac:dyDescent="0.3"/>
    <row r="5" spans="1:24" s="10" customFormat="1" ht="50.4" customHeight="1" thickBot="1" x14ac:dyDescent="0.35">
      <c r="A5" s="25" t="str">
        <f>TEXT(B6, "mmmm ")</f>
        <v xml:space="preserve">septembre </v>
      </c>
      <c r="B5" s="26"/>
      <c r="C5" s="26"/>
      <c r="D5" s="27"/>
      <c r="E5" s="25" t="str">
        <f>TEXT(F6, "mmmm ")</f>
        <v xml:space="preserve">octobre </v>
      </c>
      <c r="F5" s="26"/>
      <c r="G5" s="26"/>
      <c r="H5" s="27"/>
      <c r="I5" s="25" t="str">
        <f>TEXT(J6, "mmmm ")</f>
        <v xml:space="preserve">novembre </v>
      </c>
      <c r="J5" s="26"/>
      <c r="K5" s="26"/>
      <c r="L5" s="27"/>
      <c r="M5" s="25" t="str">
        <f>TEXT(N6, "mmmm ")</f>
        <v xml:space="preserve">décembre </v>
      </c>
      <c r="N5" s="26"/>
      <c r="O5" s="26"/>
      <c r="P5" s="27"/>
      <c r="Q5" s="25" t="str">
        <f>TEXT(R6, "mmmm ")</f>
        <v xml:space="preserve">janvier </v>
      </c>
      <c r="R5" s="26"/>
      <c r="S5" s="26"/>
      <c r="T5" s="27"/>
      <c r="U5" s="25" t="str">
        <f>TEXT(V6, "mmmm ")</f>
        <v xml:space="preserve">février </v>
      </c>
      <c r="V5" s="26"/>
      <c r="W5" s="26"/>
      <c r="X5" s="27"/>
    </row>
    <row r="6" spans="1:24" ht="25.05" customHeight="1" x14ac:dyDescent="0.3">
      <c r="A6" s="18">
        <v>1</v>
      </c>
      <c r="B6" s="19">
        <f>DATE(P2,9,1)</f>
        <v>46631</v>
      </c>
      <c r="C6" s="23" t="str">
        <f>PROPER(TEXT(B6,"Jjj"))</f>
        <v>Mer</v>
      </c>
      <c r="D6" s="21"/>
      <c r="E6" s="18">
        <v>1</v>
      </c>
      <c r="F6" s="19">
        <f>DATE(YEAR(B6), MONTH(B6)+1, DAY(B6))</f>
        <v>46661</v>
      </c>
      <c r="G6" s="20" t="str">
        <f>PROPER(TEXT(F6,"Jjj"))</f>
        <v>Ven</v>
      </c>
      <c r="H6" s="21"/>
      <c r="I6" s="22">
        <v>1</v>
      </c>
      <c r="J6" s="19">
        <f>DATE(YEAR(F6), MONTH(F6)+1, DAY(F6))</f>
        <v>46692</v>
      </c>
      <c r="K6" s="20" t="str">
        <f>PROPER(TEXT(J6,"Jjj"))</f>
        <v>Lun</v>
      </c>
      <c r="L6" s="21"/>
      <c r="M6" s="22">
        <v>1</v>
      </c>
      <c r="N6" s="19">
        <f>DATE(YEAR(J6), MONTH(J6)+1, DAY(J6))</f>
        <v>46722</v>
      </c>
      <c r="O6" s="20" t="str">
        <f>PROPER(TEXT(N6,"Jjj"))</f>
        <v>Mer</v>
      </c>
      <c r="P6" s="21"/>
      <c r="Q6" s="22">
        <v>1</v>
      </c>
      <c r="R6" s="19">
        <f>DATE(YEAR(N6), MONTH(N6)+1, DAY(N6))</f>
        <v>46753</v>
      </c>
      <c r="S6" s="20" t="str">
        <f>PROPER(TEXT(R6,"Jjj"))</f>
        <v>Sam</v>
      </c>
      <c r="T6" s="21"/>
      <c r="U6" s="22">
        <v>1</v>
      </c>
      <c r="V6" s="19">
        <f>DATE(YEAR(R6), MONTH(R6)+1, DAY(R6))</f>
        <v>46784</v>
      </c>
      <c r="W6" s="20" t="str">
        <f>PROPER(TEXT(V6,"Jjj"))</f>
        <v>Mar</v>
      </c>
      <c r="X6" s="21"/>
    </row>
    <row r="7" spans="1:24" ht="25.05" customHeight="1" x14ac:dyDescent="0.3">
      <c r="A7" s="11">
        <v>2</v>
      </c>
      <c r="B7" s="3">
        <f>DATE(YEAR(B6), MONTH(B6), DAY(B6)+1)</f>
        <v>46632</v>
      </c>
      <c r="C7" s="24" t="str">
        <f t="shared" ref="C7:C36" si="0">IF(MONTH(B7)=MONTH(mois1), PROPER(TEXT(B7,"Jjj"))," ")</f>
        <v>Jeu</v>
      </c>
      <c r="D7" s="12"/>
      <c r="E7" s="11">
        <v>2</v>
      </c>
      <c r="F7" s="3">
        <f>DATE(YEAR(F6), MONTH(F6), DAY(F6)+1)</f>
        <v>46662</v>
      </c>
      <c r="G7" s="4" t="str">
        <f t="shared" ref="G7:G36" si="1">IF(MONTH(F7)=MONTH(mois2), PROPER(TEXT(F7,"Jjj"))," ")</f>
        <v>Sam</v>
      </c>
      <c r="H7" s="12"/>
      <c r="I7" s="16">
        <v>2</v>
      </c>
      <c r="J7" s="3">
        <f>DATE(YEAR(J6), MONTH(J6), DAY(J6)+1)</f>
        <v>46693</v>
      </c>
      <c r="K7" s="4" t="str">
        <f t="shared" ref="K7:K36" si="2">IF(MONTH(J7)=MONTH(mois3), PROPER(TEXT(J7,"Jjj"))," ")</f>
        <v>Mar</v>
      </c>
      <c r="L7" s="12"/>
      <c r="M7" s="16">
        <v>2</v>
      </c>
      <c r="N7" s="3">
        <f>DATE(YEAR(N6), MONTH(N6), DAY(N6)+1)</f>
        <v>46723</v>
      </c>
      <c r="O7" s="4" t="str">
        <f t="shared" ref="O7:O36" si="3">IF(MONTH(N7)=MONTH(mois4), PROPER(TEXT(N7,"Jjj"))," ")</f>
        <v>Jeu</v>
      </c>
      <c r="P7" s="12"/>
      <c r="Q7" s="16">
        <v>2</v>
      </c>
      <c r="R7" s="3">
        <f>DATE(YEAR(R6), MONTH(R6), DAY(R6)+1)</f>
        <v>46754</v>
      </c>
      <c r="S7" s="4" t="str">
        <f t="shared" ref="S7:S36" si="4">IF(MONTH(R7)=MONTH(mois5),PROPER( TEXT(R7,"Jjj"))," ")</f>
        <v>Dim</v>
      </c>
      <c r="T7" s="12"/>
      <c r="U7" s="16">
        <v>2</v>
      </c>
      <c r="V7" s="3">
        <f>DATE(YEAR(V6), MONTH(V6), DAY(V6)+1)</f>
        <v>46785</v>
      </c>
      <c r="W7" s="4" t="str">
        <f t="shared" ref="W7:W36" si="5">IF(MONTH(V7)=MONTH(mois6), PROPER(TEXT(V7,"Jjj"))," ")</f>
        <v>Mer</v>
      </c>
      <c r="X7" s="12"/>
    </row>
    <row r="8" spans="1:24" ht="25.05" customHeight="1" x14ac:dyDescent="0.3">
      <c r="A8" s="11">
        <v>3</v>
      </c>
      <c r="B8" s="3">
        <f t="shared" ref="B8:B36" si="6">DATE(YEAR(B7), MONTH(B7), DAY(B7)+1)</f>
        <v>46633</v>
      </c>
      <c r="C8" s="24" t="str">
        <f t="shared" si="0"/>
        <v>Ven</v>
      </c>
      <c r="D8" s="12"/>
      <c r="E8" s="11">
        <v>3</v>
      </c>
      <c r="F8" s="3">
        <f t="shared" ref="F8:F36" si="7">DATE(YEAR(F7), MONTH(F7), DAY(F7)+1)</f>
        <v>46663</v>
      </c>
      <c r="G8" s="4" t="str">
        <f t="shared" si="1"/>
        <v>Dim</v>
      </c>
      <c r="H8" s="12"/>
      <c r="I8" s="16">
        <v>3</v>
      </c>
      <c r="J8" s="3">
        <f t="shared" ref="J8:J36" si="8">DATE(YEAR(J7), MONTH(J7), DAY(J7)+1)</f>
        <v>46694</v>
      </c>
      <c r="K8" s="4" t="str">
        <f t="shared" si="2"/>
        <v>Mer</v>
      </c>
      <c r="L8" s="12"/>
      <c r="M8" s="16">
        <v>3</v>
      </c>
      <c r="N8" s="3">
        <f t="shared" ref="N8:N36" si="9">DATE(YEAR(N7), MONTH(N7), DAY(N7)+1)</f>
        <v>46724</v>
      </c>
      <c r="O8" s="4" t="str">
        <f t="shared" si="3"/>
        <v>Ven</v>
      </c>
      <c r="P8" s="12"/>
      <c r="Q8" s="16">
        <v>3</v>
      </c>
      <c r="R8" s="3">
        <f t="shared" ref="R8:R36" si="10">DATE(YEAR(R7), MONTH(R7), DAY(R7)+1)</f>
        <v>46755</v>
      </c>
      <c r="S8" s="4" t="str">
        <f t="shared" si="4"/>
        <v>Lun</v>
      </c>
      <c r="T8" s="12"/>
      <c r="U8" s="16">
        <v>3</v>
      </c>
      <c r="V8" s="3">
        <f t="shared" ref="V8:V36" si="11">DATE(YEAR(V7), MONTH(V7), DAY(V7)+1)</f>
        <v>46786</v>
      </c>
      <c r="W8" s="4" t="str">
        <f t="shared" si="5"/>
        <v>Jeu</v>
      </c>
      <c r="X8" s="12"/>
    </row>
    <row r="9" spans="1:24" ht="25.05" customHeight="1" x14ac:dyDescent="0.3">
      <c r="A9" s="11">
        <v>4</v>
      </c>
      <c r="B9" s="3">
        <f t="shared" si="6"/>
        <v>46634</v>
      </c>
      <c r="C9" s="24" t="str">
        <f t="shared" si="0"/>
        <v>Sam</v>
      </c>
      <c r="D9" s="12"/>
      <c r="E9" s="11">
        <v>4</v>
      </c>
      <c r="F9" s="3">
        <f t="shared" si="7"/>
        <v>46664</v>
      </c>
      <c r="G9" s="4" t="str">
        <f t="shared" si="1"/>
        <v>Lun</v>
      </c>
      <c r="H9" s="12"/>
      <c r="I9" s="16">
        <v>4</v>
      </c>
      <c r="J9" s="3">
        <f t="shared" si="8"/>
        <v>46695</v>
      </c>
      <c r="K9" s="4" t="str">
        <f t="shared" si="2"/>
        <v>Jeu</v>
      </c>
      <c r="L9" s="12"/>
      <c r="M9" s="16">
        <v>4</v>
      </c>
      <c r="N9" s="3">
        <f t="shared" si="9"/>
        <v>46725</v>
      </c>
      <c r="O9" s="4" t="str">
        <f t="shared" si="3"/>
        <v>Sam</v>
      </c>
      <c r="P9" s="12"/>
      <c r="Q9" s="16">
        <v>4</v>
      </c>
      <c r="R9" s="3">
        <f t="shared" si="10"/>
        <v>46756</v>
      </c>
      <c r="S9" s="4" t="str">
        <f t="shared" si="4"/>
        <v>Mar</v>
      </c>
      <c r="T9" s="12"/>
      <c r="U9" s="16">
        <v>4</v>
      </c>
      <c r="V9" s="3">
        <f t="shared" si="11"/>
        <v>46787</v>
      </c>
      <c r="W9" s="4" t="str">
        <f t="shared" si="5"/>
        <v>Ven</v>
      </c>
      <c r="X9" s="12"/>
    </row>
    <row r="10" spans="1:24" ht="25.05" customHeight="1" x14ac:dyDescent="0.3">
      <c r="A10" s="11">
        <v>5</v>
      </c>
      <c r="B10" s="3">
        <f t="shared" si="6"/>
        <v>46635</v>
      </c>
      <c r="C10" s="24" t="str">
        <f t="shared" si="0"/>
        <v>Dim</v>
      </c>
      <c r="D10" s="12"/>
      <c r="E10" s="11">
        <v>5</v>
      </c>
      <c r="F10" s="3">
        <f t="shared" si="7"/>
        <v>46665</v>
      </c>
      <c r="G10" s="4" t="str">
        <f t="shared" si="1"/>
        <v>Mar</v>
      </c>
      <c r="H10" s="12"/>
      <c r="I10" s="16">
        <v>5</v>
      </c>
      <c r="J10" s="3">
        <f t="shared" si="8"/>
        <v>46696</v>
      </c>
      <c r="K10" s="4" t="str">
        <f t="shared" si="2"/>
        <v>Ven</v>
      </c>
      <c r="L10" s="12"/>
      <c r="M10" s="16">
        <v>5</v>
      </c>
      <c r="N10" s="3">
        <f t="shared" si="9"/>
        <v>46726</v>
      </c>
      <c r="O10" s="4" t="str">
        <f t="shared" si="3"/>
        <v>Dim</v>
      </c>
      <c r="P10" s="12"/>
      <c r="Q10" s="16">
        <v>5</v>
      </c>
      <c r="R10" s="3">
        <f t="shared" si="10"/>
        <v>46757</v>
      </c>
      <c r="S10" s="4" t="str">
        <f t="shared" si="4"/>
        <v>Mer</v>
      </c>
      <c r="T10" s="12"/>
      <c r="U10" s="16">
        <v>5</v>
      </c>
      <c r="V10" s="3">
        <f t="shared" si="11"/>
        <v>46788</v>
      </c>
      <c r="W10" s="4" t="str">
        <f t="shared" si="5"/>
        <v>Sam</v>
      </c>
      <c r="X10" s="12"/>
    </row>
    <row r="11" spans="1:24" ht="25.05" customHeight="1" x14ac:dyDescent="0.3">
      <c r="A11" s="11">
        <v>6</v>
      </c>
      <c r="B11" s="3">
        <f t="shared" si="6"/>
        <v>46636</v>
      </c>
      <c r="C11" s="24" t="str">
        <f t="shared" si="0"/>
        <v>Lun</v>
      </c>
      <c r="D11" s="12"/>
      <c r="E11" s="11">
        <v>6</v>
      </c>
      <c r="F11" s="3">
        <f t="shared" si="7"/>
        <v>46666</v>
      </c>
      <c r="G11" s="4" t="str">
        <f t="shared" si="1"/>
        <v>Mer</v>
      </c>
      <c r="H11" s="12"/>
      <c r="I11" s="16">
        <v>6</v>
      </c>
      <c r="J11" s="3">
        <f t="shared" si="8"/>
        <v>46697</v>
      </c>
      <c r="K11" s="4" t="str">
        <f t="shared" si="2"/>
        <v>Sam</v>
      </c>
      <c r="L11" s="12"/>
      <c r="M11" s="16">
        <v>6</v>
      </c>
      <c r="N11" s="3">
        <f t="shared" si="9"/>
        <v>46727</v>
      </c>
      <c r="O11" s="4" t="str">
        <f t="shared" si="3"/>
        <v>Lun</v>
      </c>
      <c r="P11" s="12"/>
      <c r="Q11" s="16">
        <v>6</v>
      </c>
      <c r="R11" s="3">
        <f t="shared" si="10"/>
        <v>46758</v>
      </c>
      <c r="S11" s="4" t="str">
        <f t="shared" si="4"/>
        <v>Jeu</v>
      </c>
      <c r="T11" s="12"/>
      <c r="U11" s="16">
        <v>6</v>
      </c>
      <c r="V11" s="3">
        <f t="shared" si="11"/>
        <v>46789</v>
      </c>
      <c r="W11" s="4" t="str">
        <f t="shared" si="5"/>
        <v>Dim</v>
      </c>
      <c r="X11" s="12"/>
    </row>
    <row r="12" spans="1:24" ht="25.05" customHeight="1" x14ac:dyDescent="0.3">
      <c r="A12" s="11">
        <v>7</v>
      </c>
      <c r="B12" s="3">
        <f t="shared" si="6"/>
        <v>46637</v>
      </c>
      <c r="C12" s="24" t="str">
        <f t="shared" si="0"/>
        <v>Mar</v>
      </c>
      <c r="D12" s="12"/>
      <c r="E12" s="11">
        <v>7</v>
      </c>
      <c r="F12" s="3">
        <f t="shared" si="7"/>
        <v>46667</v>
      </c>
      <c r="G12" s="4" t="str">
        <f t="shared" si="1"/>
        <v>Jeu</v>
      </c>
      <c r="H12" s="12"/>
      <c r="I12" s="16">
        <v>7</v>
      </c>
      <c r="J12" s="3">
        <f t="shared" si="8"/>
        <v>46698</v>
      </c>
      <c r="K12" s="4" t="str">
        <f t="shared" si="2"/>
        <v>Dim</v>
      </c>
      <c r="L12" s="12"/>
      <c r="M12" s="16">
        <v>7</v>
      </c>
      <c r="N12" s="3">
        <f t="shared" si="9"/>
        <v>46728</v>
      </c>
      <c r="O12" s="4" t="str">
        <f t="shared" si="3"/>
        <v>Mar</v>
      </c>
      <c r="P12" s="12"/>
      <c r="Q12" s="16">
        <v>7</v>
      </c>
      <c r="R12" s="3">
        <f t="shared" si="10"/>
        <v>46759</v>
      </c>
      <c r="S12" s="4" t="str">
        <f t="shared" si="4"/>
        <v>Ven</v>
      </c>
      <c r="T12" s="12"/>
      <c r="U12" s="16">
        <v>7</v>
      </c>
      <c r="V12" s="3">
        <f t="shared" si="11"/>
        <v>46790</v>
      </c>
      <c r="W12" s="4" t="str">
        <f t="shared" si="5"/>
        <v>Lun</v>
      </c>
      <c r="X12" s="12"/>
    </row>
    <row r="13" spans="1:24" ht="25.05" customHeight="1" x14ac:dyDescent="0.3">
      <c r="A13" s="11">
        <v>8</v>
      </c>
      <c r="B13" s="3">
        <f t="shared" si="6"/>
        <v>46638</v>
      </c>
      <c r="C13" s="24" t="str">
        <f t="shared" si="0"/>
        <v>Mer</v>
      </c>
      <c r="D13" s="12"/>
      <c r="E13" s="11">
        <v>8</v>
      </c>
      <c r="F13" s="3">
        <f t="shared" si="7"/>
        <v>46668</v>
      </c>
      <c r="G13" s="4" t="str">
        <f t="shared" si="1"/>
        <v>Ven</v>
      </c>
      <c r="H13" s="12"/>
      <c r="I13" s="16">
        <v>8</v>
      </c>
      <c r="J13" s="3">
        <f t="shared" si="8"/>
        <v>46699</v>
      </c>
      <c r="K13" s="4" t="str">
        <f t="shared" si="2"/>
        <v>Lun</v>
      </c>
      <c r="L13" s="12"/>
      <c r="M13" s="16">
        <v>8</v>
      </c>
      <c r="N13" s="3">
        <f t="shared" si="9"/>
        <v>46729</v>
      </c>
      <c r="O13" s="4" t="str">
        <f t="shared" si="3"/>
        <v>Mer</v>
      </c>
      <c r="P13" s="12"/>
      <c r="Q13" s="16">
        <v>8</v>
      </c>
      <c r="R13" s="3">
        <f t="shared" si="10"/>
        <v>46760</v>
      </c>
      <c r="S13" s="4" t="str">
        <f t="shared" si="4"/>
        <v>Sam</v>
      </c>
      <c r="T13" s="12"/>
      <c r="U13" s="16">
        <v>8</v>
      </c>
      <c r="V13" s="3">
        <f t="shared" si="11"/>
        <v>46791</v>
      </c>
      <c r="W13" s="4" t="str">
        <f t="shared" si="5"/>
        <v>Mar</v>
      </c>
      <c r="X13" s="12"/>
    </row>
    <row r="14" spans="1:24" ht="25.05" customHeight="1" x14ac:dyDescent="0.3">
      <c r="A14" s="11">
        <v>9</v>
      </c>
      <c r="B14" s="3">
        <f t="shared" si="6"/>
        <v>46639</v>
      </c>
      <c r="C14" s="24" t="str">
        <f t="shared" si="0"/>
        <v>Jeu</v>
      </c>
      <c r="D14" s="12"/>
      <c r="E14" s="11">
        <v>9</v>
      </c>
      <c r="F14" s="3">
        <f t="shared" si="7"/>
        <v>46669</v>
      </c>
      <c r="G14" s="4" t="str">
        <f t="shared" si="1"/>
        <v>Sam</v>
      </c>
      <c r="H14" s="12"/>
      <c r="I14" s="16">
        <v>9</v>
      </c>
      <c r="J14" s="3">
        <f t="shared" si="8"/>
        <v>46700</v>
      </c>
      <c r="K14" s="4" t="str">
        <f t="shared" si="2"/>
        <v>Mar</v>
      </c>
      <c r="L14" s="12"/>
      <c r="M14" s="16">
        <v>9</v>
      </c>
      <c r="N14" s="3">
        <f t="shared" si="9"/>
        <v>46730</v>
      </c>
      <c r="O14" s="4" t="str">
        <f t="shared" si="3"/>
        <v>Jeu</v>
      </c>
      <c r="P14" s="12"/>
      <c r="Q14" s="16">
        <v>9</v>
      </c>
      <c r="R14" s="3">
        <f t="shared" si="10"/>
        <v>46761</v>
      </c>
      <c r="S14" s="4" t="str">
        <f t="shared" si="4"/>
        <v>Dim</v>
      </c>
      <c r="T14" s="12"/>
      <c r="U14" s="16">
        <v>9</v>
      </c>
      <c r="V14" s="3">
        <f t="shared" si="11"/>
        <v>46792</v>
      </c>
      <c r="W14" s="4" t="str">
        <f t="shared" si="5"/>
        <v>Mer</v>
      </c>
      <c r="X14" s="12"/>
    </row>
    <row r="15" spans="1:24" ht="25.05" customHeight="1" x14ac:dyDescent="0.3">
      <c r="A15" s="11">
        <v>10</v>
      </c>
      <c r="B15" s="3">
        <f t="shared" si="6"/>
        <v>46640</v>
      </c>
      <c r="C15" s="24" t="str">
        <f t="shared" si="0"/>
        <v>Ven</v>
      </c>
      <c r="D15" s="12"/>
      <c r="E15" s="11">
        <v>10</v>
      </c>
      <c r="F15" s="3">
        <f t="shared" si="7"/>
        <v>46670</v>
      </c>
      <c r="G15" s="4" t="str">
        <f t="shared" si="1"/>
        <v>Dim</v>
      </c>
      <c r="H15" s="12"/>
      <c r="I15" s="16">
        <v>10</v>
      </c>
      <c r="J15" s="3">
        <f t="shared" si="8"/>
        <v>46701</v>
      </c>
      <c r="K15" s="4" t="str">
        <f t="shared" si="2"/>
        <v>Mer</v>
      </c>
      <c r="L15" s="12"/>
      <c r="M15" s="16">
        <v>10</v>
      </c>
      <c r="N15" s="3">
        <f t="shared" si="9"/>
        <v>46731</v>
      </c>
      <c r="O15" s="4" t="str">
        <f t="shared" si="3"/>
        <v>Ven</v>
      </c>
      <c r="P15" s="12"/>
      <c r="Q15" s="16">
        <v>10</v>
      </c>
      <c r="R15" s="3">
        <f t="shared" si="10"/>
        <v>46762</v>
      </c>
      <c r="S15" s="4" t="str">
        <f t="shared" si="4"/>
        <v>Lun</v>
      </c>
      <c r="T15" s="12"/>
      <c r="U15" s="16">
        <v>10</v>
      </c>
      <c r="V15" s="3">
        <f t="shared" si="11"/>
        <v>46793</v>
      </c>
      <c r="W15" s="4" t="str">
        <f t="shared" si="5"/>
        <v>Jeu</v>
      </c>
      <c r="X15" s="12"/>
    </row>
    <row r="16" spans="1:24" ht="25.05" customHeight="1" x14ac:dyDescent="0.3">
      <c r="A16" s="11">
        <v>11</v>
      </c>
      <c r="B16" s="3">
        <f t="shared" si="6"/>
        <v>46641</v>
      </c>
      <c r="C16" s="24" t="str">
        <f t="shared" si="0"/>
        <v>Sam</v>
      </c>
      <c r="D16" s="12"/>
      <c r="E16" s="11">
        <v>11</v>
      </c>
      <c r="F16" s="3">
        <f t="shared" si="7"/>
        <v>46671</v>
      </c>
      <c r="G16" s="4" t="str">
        <f t="shared" si="1"/>
        <v>Lun</v>
      </c>
      <c r="H16" s="12"/>
      <c r="I16" s="16">
        <v>11</v>
      </c>
      <c r="J16" s="3">
        <f t="shared" si="8"/>
        <v>46702</v>
      </c>
      <c r="K16" s="4" t="str">
        <f t="shared" si="2"/>
        <v>Jeu</v>
      </c>
      <c r="L16" s="12"/>
      <c r="M16" s="16">
        <v>11</v>
      </c>
      <c r="N16" s="3">
        <f t="shared" si="9"/>
        <v>46732</v>
      </c>
      <c r="O16" s="4" t="str">
        <f t="shared" si="3"/>
        <v>Sam</v>
      </c>
      <c r="P16" s="12"/>
      <c r="Q16" s="16">
        <v>11</v>
      </c>
      <c r="R16" s="3">
        <f t="shared" si="10"/>
        <v>46763</v>
      </c>
      <c r="S16" s="4" t="str">
        <f t="shared" si="4"/>
        <v>Mar</v>
      </c>
      <c r="T16" s="12"/>
      <c r="U16" s="16">
        <v>11</v>
      </c>
      <c r="V16" s="3">
        <f t="shared" si="11"/>
        <v>46794</v>
      </c>
      <c r="W16" s="4" t="str">
        <f t="shared" si="5"/>
        <v>Ven</v>
      </c>
      <c r="X16" s="12"/>
    </row>
    <row r="17" spans="1:24" ht="25.05" customHeight="1" x14ac:dyDescent="0.3">
      <c r="A17" s="11">
        <v>12</v>
      </c>
      <c r="B17" s="3">
        <f t="shared" si="6"/>
        <v>46642</v>
      </c>
      <c r="C17" s="24" t="str">
        <f t="shared" si="0"/>
        <v>Dim</v>
      </c>
      <c r="D17" s="12"/>
      <c r="E17" s="11">
        <v>12</v>
      </c>
      <c r="F17" s="3">
        <f t="shared" si="7"/>
        <v>46672</v>
      </c>
      <c r="G17" s="4" t="str">
        <f t="shared" si="1"/>
        <v>Mar</v>
      </c>
      <c r="H17" s="12"/>
      <c r="I17" s="16">
        <v>12</v>
      </c>
      <c r="J17" s="3">
        <f t="shared" si="8"/>
        <v>46703</v>
      </c>
      <c r="K17" s="4" t="str">
        <f t="shared" si="2"/>
        <v>Ven</v>
      </c>
      <c r="L17" s="12"/>
      <c r="M17" s="16">
        <v>12</v>
      </c>
      <c r="N17" s="3">
        <f t="shared" si="9"/>
        <v>46733</v>
      </c>
      <c r="O17" s="4" t="str">
        <f t="shared" si="3"/>
        <v>Dim</v>
      </c>
      <c r="P17" s="12"/>
      <c r="Q17" s="16">
        <v>12</v>
      </c>
      <c r="R17" s="3">
        <f t="shared" si="10"/>
        <v>46764</v>
      </c>
      <c r="S17" s="4" t="str">
        <f t="shared" si="4"/>
        <v>Mer</v>
      </c>
      <c r="T17" s="12"/>
      <c r="U17" s="16">
        <v>12</v>
      </c>
      <c r="V17" s="3">
        <f t="shared" si="11"/>
        <v>46795</v>
      </c>
      <c r="W17" s="4" t="str">
        <f t="shared" si="5"/>
        <v>Sam</v>
      </c>
      <c r="X17" s="12"/>
    </row>
    <row r="18" spans="1:24" ht="25.05" customHeight="1" x14ac:dyDescent="0.3">
      <c r="A18" s="11">
        <v>13</v>
      </c>
      <c r="B18" s="3">
        <f t="shared" si="6"/>
        <v>46643</v>
      </c>
      <c r="C18" s="24" t="str">
        <f t="shared" si="0"/>
        <v>Lun</v>
      </c>
      <c r="D18" s="12"/>
      <c r="E18" s="11">
        <v>13</v>
      </c>
      <c r="F18" s="3">
        <f t="shared" si="7"/>
        <v>46673</v>
      </c>
      <c r="G18" s="4" t="str">
        <f t="shared" si="1"/>
        <v>Mer</v>
      </c>
      <c r="H18" s="12"/>
      <c r="I18" s="16">
        <v>13</v>
      </c>
      <c r="J18" s="3">
        <f t="shared" si="8"/>
        <v>46704</v>
      </c>
      <c r="K18" s="4" t="str">
        <f t="shared" si="2"/>
        <v>Sam</v>
      </c>
      <c r="L18" s="12"/>
      <c r="M18" s="16">
        <v>13</v>
      </c>
      <c r="N18" s="3">
        <f t="shared" si="9"/>
        <v>46734</v>
      </c>
      <c r="O18" s="4" t="str">
        <f t="shared" si="3"/>
        <v>Lun</v>
      </c>
      <c r="P18" s="12"/>
      <c r="Q18" s="16">
        <v>13</v>
      </c>
      <c r="R18" s="3">
        <f t="shared" si="10"/>
        <v>46765</v>
      </c>
      <c r="S18" s="4" t="str">
        <f t="shared" si="4"/>
        <v>Jeu</v>
      </c>
      <c r="T18" s="12"/>
      <c r="U18" s="16">
        <v>13</v>
      </c>
      <c r="V18" s="3">
        <f t="shared" si="11"/>
        <v>46796</v>
      </c>
      <c r="W18" s="4" t="str">
        <f t="shared" si="5"/>
        <v>Dim</v>
      </c>
      <c r="X18" s="12"/>
    </row>
    <row r="19" spans="1:24" ht="25.05" customHeight="1" x14ac:dyDescent="0.3">
      <c r="A19" s="11">
        <v>14</v>
      </c>
      <c r="B19" s="3">
        <f t="shared" si="6"/>
        <v>46644</v>
      </c>
      <c r="C19" s="24" t="str">
        <f t="shared" si="0"/>
        <v>Mar</v>
      </c>
      <c r="D19" s="12"/>
      <c r="E19" s="11">
        <v>14</v>
      </c>
      <c r="F19" s="3">
        <f t="shared" si="7"/>
        <v>46674</v>
      </c>
      <c r="G19" s="4" t="str">
        <f t="shared" si="1"/>
        <v>Jeu</v>
      </c>
      <c r="H19" s="12"/>
      <c r="I19" s="16">
        <v>14</v>
      </c>
      <c r="J19" s="3">
        <f t="shared" si="8"/>
        <v>46705</v>
      </c>
      <c r="K19" s="4" t="str">
        <f t="shared" si="2"/>
        <v>Dim</v>
      </c>
      <c r="L19" s="12"/>
      <c r="M19" s="16">
        <v>14</v>
      </c>
      <c r="N19" s="3">
        <f t="shared" si="9"/>
        <v>46735</v>
      </c>
      <c r="O19" s="4" t="str">
        <f t="shared" si="3"/>
        <v>Mar</v>
      </c>
      <c r="P19" s="12"/>
      <c r="Q19" s="16">
        <v>14</v>
      </c>
      <c r="R19" s="3">
        <f t="shared" si="10"/>
        <v>46766</v>
      </c>
      <c r="S19" s="4" t="str">
        <f t="shared" si="4"/>
        <v>Ven</v>
      </c>
      <c r="T19" s="12"/>
      <c r="U19" s="16">
        <v>14</v>
      </c>
      <c r="V19" s="3">
        <f t="shared" si="11"/>
        <v>46797</v>
      </c>
      <c r="W19" s="4" t="str">
        <f t="shared" si="5"/>
        <v>Lun</v>
      </c>
      <c r="X19" s="12"/>
    </row>
    <row r="20" spans="1:24" ht="25.05" customHeight="1" x14ac:dyDescent="0.3">
      <c r="A20" s="11">
        <v>15</v>
      </c>
      <c r="B20" s="3">
        <f t="shared" si="6"/>
        <v>46645</v>
      </c>
      <c r="C20" s="24" t="str">
        <f t="shared" si="0"/>
        <v>Mer</v>
      </c>
      <c r="D20" s="12"/>
      <c r="E20" s="11">
        <v>15</v>
      </c>
      <c r="F20" s="3">
        <f t="shared" si="7"/>
        <v>46675</v>
      </c>
      <c r="G20" s="4" t="str">
        <f t="shared" si="1"/>
        <v>Ven</v>
      </c>
      <c r="H20" s="12"/>
      <c r="I20" s="16">
        <v>15</v>
      </c>
      <c r="J20" s="3">
        <f t="shared" si="8"/>
        <v>46706</v>
      </c>
      <c r="K20" s="4" t="str">
        <f t="shared" si="2"/>
        <v>Lun</v>
      </c>
      <c r="L20" s="12"/>
      <c r="M20" s="16">
        <v>15</v>
      </c>
      <c r="N20" s="3">
        <f t="shared" si="9"/>
        <v>46736</v>
      </c>
      <c r="O20" s="4" t="str">
        <f t="shared" si="3"/>
        <v>Mer</v>
      </c>
      <c r="P20" s="12"/>
      <c r="Q20" s="16">
        <v>15</v>
      </c>
      <c r="R20" s="3">
        <f t="shared" si="10"/>
        <v>46767</v>
      </c>
      <c r="S20" s="4" t="str">
        <f t="shared" si="4"/>
        <v>Sam</v>
      </c>
      <c r="T20" s="12"/>
      <c r="U20" s="16">
        <v>15</v>
      </c>
      <c r="V20" s="3">
        <f t="shared" si="11"/>
        <v>46798</v>
      </c>
      <c r="W20" s="4" t="str">
        <f t="shared" si="5"/>
        <v>Mar</v>
      </c>
      <c r="X20" s="12"/>
    </row>
    <row r="21" spans="1:24" ht="25.05" customHeight="1" x14ac:dyDescent="0.3">
      <c r="A21" s="11">
        <v>16</v>
      </c>
      <c r="B21" s="3">
        <f t="shared" si="6"/>
        <v>46646</v>
      </c>
      <c r="C21" s="24" t="str">
        <f t="shared" si="0"/>
        <v>Jeu</v>
      </c>
      <c r="D21" s="12"/>
      <c r="E21" s="11">
        <v>16</v>
      </c>
      <c r="F21" s="3">
        <f t="shared" si="7"/>
        <v>46676</v>
      </c>
      <c r="G21" s="4" t="str">
        <f t="shared" si="1"/>
        <v>Sam</v>
      </c>
      <c r="H21" s="12"/>
      <c r="I21" s="16">
        <v>16</v>
      </c>
      <c r="J21" s="3">
        <f t="shared" si="8"/>
        <v>46707</v>
      </c>
      <c r="K21" s="4" t="str">
        <f t="shared" si="2"/>
        <v>Mar</v>
      </c>
      <c r="L21" s="12"/>
      <c r="M21" s="16">
        <v>16</v>
      </c>
      <c r="N21" s="3">
        <f t="shared" si="9"/>
        <v>46737</v>
      </c>
      <c r="O21" s="4" t="str">
        <f t="shared" si="3"/>
        <v>Jeu</v>
      </c>
      <c r="P21" s="12"/>
      <c r="Q21" s="16">
        <v>16</v>
      </c>
      <c r="R21" s="3">
        <f t="shared" si="10"/>
        <v>46768</v>
      </c>
      <c r="S21" s="4" t="str">
        <f t="shared" si="4"/>
        <v>Dim</v>
      </c>
      <c r="T21" s="12"/>
      <c r="U21" s="16">
        <v>16</v>
      </c>
      <c r="V21" s="3">
        <f t="shared" si="11"/>
        <v>46799</v>
      </c>
      <c r="W21" s="4" t="str">
        <f t="shared" si="5"/>
        <v>Mer</v>
      </c>
      <c r="X21" s="12"/>
    </row>
    <row r="22" spans="1:24" ht="25.05" customHeight="1" x14ac:dyDescent="0.3">
      <c r="A22" s="11">
        <v>17</v>
      </c>
      <c r="B22" s="3">
        <f t="shared" si="6"/>
        <v>46647</v>
      </c>
      <c r="C22" s="24" t="str">
        <f t="shared" si="0"/>
        <v>Ven</v>
      </c>
      <c r="D22" s="12"/>
      <c r="E22" s="11">
        <v>17</v>
      </c>
      <c r="F22" s="3">
        <f t="shared" si="7"/>
        <v>46677</v>
      </c>
      <c r="G22" s="4" t="str">
        <f t="shared" si="1"/>
        <v>Dim</v>
      </c>
      <c r="H22" s="12"/>
      <c r="I22" s="16">
        <v>17</v>
      </c>
      <c r="J22" s="3">
        <f t="shared" si="8"/>
        <v>46708</v>
      </c>
      <c r="K22" s="4" t="str">
        <f t="shared" si="2"/>
        <v>Mer</v>
      </c>
      <c r="L22" s="12"/>
      <c r="M22" s="16">
        <v>17</v>
      </c>
      <c r="N22" s="3">
        <f t="shared" si="9"/>
        <v>46738</v>
      </c>
      <c r="O22" s="4" t="str">
        <f t="shared" si="3"/>
        <v>Ven</v>
      </c>
      <c r="P22" s="12"/>
      <c r="Q22" s="16">
        <v>17</v>
      </c>
      <c r="R22" s="3">
        <f t="shared" si="10"/>
        <v>46769</v>
      </c>
      <c r="S22" s="4" t="str">
        <f t="shared" si="4"/>
        <v>Lun</v>
      </c>
      <c r="T22" s="12"/>
      <c r="U22" s="16">
        <v>17</v>
      </c>
      <c r="V22" s="3">
        <f t="shared" si="11"/>
        <v>46800</v>
      </c>
      <c r="W22" s="4" t="str">
        <f t="shared" si="5"/>
        <v>Jeu</v>
      </c>
      <c r="X22" s="12"/>
    </row>
    <row r="23" spans="1:24" ht="25.05" customHeight="1" x14ac:dyDescent="0.3">
      <c r="A23" s="11">
        <v>18</v>
      </c>
      <c r="B23" s="3">
        <f t="shared" si="6"/>
        <v>46648</v>
      </c>
      <c r="C23" s="24" t="str">
        <f t="shared" si="0"/>
        <v>Sam</v>
      </c>
      <c r="D23" s="12"/>
      <c r="E23" s="11">
        <v>18</v>
      </c>
      <c r="F23" s="3">
        <f t="shared" si="7"/>
        <v>46678</v>
      </c>
      <c r="G23" s="4" t="str">
        <f t="shared" si="1"/>
        <v>Lun</v>
      </c>
      <c r="H23" s="12"/>
      <c r="I23" s="16">
        <v>18</v>
      </c>
      <c r="J23" s="3">
        <f t="shared" si="8"/>
        <v>46709</v>
      </c>
      <c r="K23" s="4" t="str">
        <f t="shared" si="2"/>
        <v>Jeu</v>
      </c>
      <c r="L23" s="12"/>
      <c r="M23" s="16">
        <v>18</v>
      </c>
      <c r="N23" s="3">
        <f t="shared" si="9"/>
        <v>46739</v>
      </c>
      <c r="O23" s="4" t="str">
        <f t="shared" si="3"/>
        <v>Sam</v>
      </c>
      <c r="P23" s="12"/>
      <c r="Q23" s="16">
        <v>18</v>
      </c>
      <c r="R23" s="3">
        <f t="shared" si="10"/>
        <v>46770</v>
      </c>
      <c r="S23" s="4" t="str">
        <f t="shared" si="4"/>
        <v>Mar</v>
      </c>
      <c r="T23" s="12"/>
      <c r="U23" s="16">
        <v>18</v>
      </c>
      <c r="V23" s="3">
        <f t="shared" si="11"/>
        <v>46801</v>
      </c>
      <c r="W23" s="4" t="str">
        <f t="shared" si="5"/>
        <v>Ven</v>
      </c>
      <c r="X23" s="12"/>
    </row>
    <row r="24" spans="1:24" ht="25.05" customHeight="1" x14ac:dyDescent="0.3">
      <c r="A24" s="11">
        <v>19</v>
      </c>
      <c r="B24" s="3">
        <f t="shared" si="6"/>
        <v>46649</v>
      </c>
      <c r="C24" s="24" t="str">
        <f t="shared" si="0"/>
        <v>Dim</v>
      </c>
      <c r="D24" s="12"/>
      <c r="E24" s="11">
        <v>19</v>
      </c>
      <c r="F24" s="3">
        <f t="shared" si="7"/>
        <v>46679</v>
      </c>
      <c r="G24" s="4" t="str">
        <f t="shared" si="1"/>
        <v>Mar</v>
      </c>
      <c r="H24" s="12"/>
      <c r="I24" s="16">
        <v>19</v>
      </c>
      <c r="J24" s="3">
        <f t="shared" si="8"/>
        <v>46710</v>
      </c>
      <c r="K24" s="4" t="str">
        <f t="shared" si="2"/>
        <v>Ven</v>
      </c>
      <c r="L24" s="12"/>
      <c r="M24" s="16">
        <v>19</v>
      </c>
      <c r="N24" s="3">
        <f t="shared" si="9"/>
        <v>46740</v>
      </c>
      <c r="O24" s="4" t="str">
        <f t="shared" si="3"/>
        <v>Dim</v>
      </c>
      <c r="P24" s="12"/>
      <c r="Q24" s="16">
        <v>19</v>
      </c>
      <c r="R24" s="3">
        <f t="shared" si="10"/>
        <v>46771</v>
      </c>
      <c r="S24" s="4" t="str">
        <f t="shared" si="4"/>
        <v>Mer</v>
      </c>
      <c r="T24" s="12"/>
      <c r="U24" s="16">
        <v>19</v>
      </c>
      <c r="V24" s="3">
        <f t="shared" si="11"/>
        <v>46802</v>
      </c>
      <c r="W24" s="4" t="str">
        <f t="shared" si="5"/>
        <v>Sam</v>
      </c>
      <c r="X24" s="12"/>
    </row>
    <row r="25" spans="1:24" ht="25.05" customHeight="1" x14ac:dyDescent="0.3">
      <c r="A25" s="11">
        <v>20</v>
      </c>
      <c r="B25" s="3">
        <f t="shared" si="6"/>
        <v>46650</v>
      </c>
      <c r="C25" s="24" t="str">
        <f t="shared" si="0"/>
        <v>Lun</v>
      </c>
      <c r="D25" s="12"/>
      <c r="E25" s="11">
        <v>20</v>
      </c>
      <c r="F25" s="3">
        <f t="shared" si="7"/>
        <v>46680</v>
      </c>
      <c r="G25" s="4" t="str">
        <f t="shared" si="1"/>
        <v>Mer</v>
      </c>
      <c r="H25" s="12"/>
      <c r="I25" s="16">
        <v>20</v>
      </c>
      <c r="J25" s="3">
        <f t="shared" si="8"/>
        <v>46711</v>
      </c>
      <c r="K25" s="4" t="str">
        <f t="shared" si="2"/>
        <v>Sam</v>
      </c>
      <c r="L25" s="12"/>
      <c r="M25" s="16">
        <v>20</v>
      </c>
      <c r="N25" s="3">
        <f t="shared" si="9"/>
        <v>46741</v>
      </c>
      <c r="O25" s="4" t="str">
        <f t="shared" si="3"/>
        <v>Lun</v>
      </c>
      <c r="P25" s="12"/>
      <c r="Q25" s="16">
        <v>20</v>
      </c>
      <c r="R25" s="3">
        <f t="shared" si="10"/>
        <v>46772</v>
      </c>
      <c r="S25" s="4" t="str">
        <f t="shared" si="4"/>
        <v>Jeu</v>
      </c>
      <c r="T25" s="12"/>
      <c r="U25" s="16">
        <v>20</v>
      </c>
      <c r="V25" s="3">
        <f t="shared" si="11"/>
        <v>46803</v>
      </c>
      <c r="W25" s="4" t="str">
        <f t="shared" si="5"/>
        <v>Dim</v>
      </c>
      <c r="X25" s="12"/>
    </row>
    <row r="26" spans="1:24" ht="25.05" customHeight="1" x14ac:dyDescent="0.3">
      <c r="A26" s="11">
        <v>21</v>
      </c>
      <c r="B26" s="3">
        <f t="shared" si="6"/>
        <v>46651</v>
      </c>
      <c r="C26" s="24" t="str">
        <f t="shared" si="0"/>
        <v>Mar</v>
      </c>
      <c r="D26" s="12"/>
      <c r="E26" s="11">
        <v>21</v>
      </c>
      <c r="F26" s="3">
        <f t="shared" si="7"/>
        <v>46681</v>
      </c>
      <c r="G26" s="4" t="str">
        <f t="shared" si="1"/>
        <v>Jeu</v>
      </c>
      <c r="H26" s="12"/>
      <c r="I26" s="16">
        <v>21</v>
      </c>
      <c r="J26" s="3">
        <f t="shared" si="8"/>
        <v>46712</v>
      </c>
      <c r="K26" s="4" t="str">
        <f t="shared" si="2"/>
        <v>Dim</v>
      </c>
      <c r="L26" s="12"/>
      <c r="M26" s="16">
        <v>21</v>
      </c>
      <c r="N26" s="3">
        <f t="shared" si="9"/>
        <v>46742</v>
      </c>
      <c r="O26" s="4" t="str">
        <f t="shared" si="3"/>
        <v>Mar</v>
      </c>
      <c r="P26" s="12"/>
      <c r="Q26" s="16">
        <v>21</v>
      </c>
      <c r="R26" s="3">
        <f t="shared" si="10"/>
        <v>46773</v>
      </c>
      <c r="S26" s="4" t="str">
        <f t="shared" si="4"/>
        <v>Ven</v>
      </c>
      <c r="T26" s="12"/>
      <c r="U26" s="16">
        <v>21</v>
      </c>
      <c r="V26" s="3">
        <f t="shared" si="11"/>
        <v>46804</v>
      </c>
      <c r="W26" s="4" t="str">
        <f t="shared" si="5"/>
        <v>Lun</v>
      </c>
      <c r="X26" s="12"/>
    </row>
    <row r="27" spans="1:24" ht="25.05" customHeight="1" x14ac:dyDescent="0.3">
      <c r="A27" s="11">
        <v>22</v>
      </c>
      <c r="B27" s="3">
        <f t="shared" si="6"/>
        <v>46652</v>
      </c>
      <c r="C27" s="24" t="str">
        <f t="shared" si="0"/>
        <v>Mer</v>
      </c>
      <c r="D27" s="12"/>
      <c r="E27" s="11">
        <v>22</v>
      </c>
      <c r="F27" s="3">
        <f t="shared" si="7"/>
        <v>46682</v>
      </c>
      <c r="G27" s="4" t="str">
        <f t="shared" si="1"/>
        <v>Ven</v>
      </c>
      <c r="H27" s="12"/>
      <c r="I27" s="16">
        <v>22</v>
      </c>
      <c r="J27" s="3">
        <f t="shared" si="8"/>
        <v>46713</v>
      </c>
      <c r="K27" s="4" t="str">
        <f t="shared" si="2"/>
        <v>Lun</v>
      </c>
      <c r="L27" s="12"/>
      <c r="M27" s="16">
        <v>22</v>
      </c>
      <c r="N27" s="3">
        <f t="shared" si="9"/>
        <v>46743</v>
      </c>
      <c r="O27" s="4" t="str">
        <f t="shared" si="3"/>
        <v>Mer</v>
      </c>
      <c r="P27" s="12"/>
      <c r="Q27" s="16">
        <v>22</v>
      </c>
      <c r="R27" s="3">
        <f t="shared" si="10"/>
        <v>46774</v>
      </c>
      <c r="S27" s="4" t="str">
        <f t="shared" si="4"/>
        <v>Sam</v>
      </c>
      <c r="T27" s="12"/>
      <c r="U27" s="16">
        <v>22</v>
      </c>
      <c r="V27" s="3">
        <f t="shared" si="11"/>
        <v>46805</v>
      </c>
      <c r="W27" s="4" t="str">
        <f t="shared" si="5"/>
        <v>Mar</v>
      </c>
      <c r="X27" s="12"/>
    </row>
    <row r="28" spans="1:24" ht="25.05" customHeight="1" x14ac:dyDescent="0.3">
      <c r="A28" s="11">
        <v>23</v>
      </c>
      <c r="B28" s="3">
        <f t="shared" si="6"/>
        <v>46653</v>
      </c>
      <c r="C28" s="24" t="str">
        <f t="shared" si="0"/>
        <v>Jeu</v>
      </c>
      <c r="D28" s="12"/>
      <c r="E28" s="11">
        <v>23</v>
      </c>
      <c r="F28" s="3">
        <f t="shared" si="7"/>
        <v>46683</v>
      </c>
      <c r="G28" s="4" t="str">
        <f t="shared" si="1"/>
        <v>Sam</v>
      </c>
      <c r="H28" s="12"/>
      <c r="I28" s="16">
        <v>23</v>
      </c>
      <c r="J28" s="3">
        <f t="shared" si="8"/>
        <v>46714</v>
      </c>
      <c r="K28" s="4" t="str">
        <f t="shared" si="2"/>
        <v>Mar</v>
      </c>
      <c r="L28" s="12"/>
      <c r="M28" s="16">
        <v>23</v>
      </c>
      <c r="N28" s="3">
        <f t="shared" si="9"/>
        <v>46744</v>
      </c>
      <c r="O28" s="4" t="str">
        <f t="shared" si="3"/>
        <v>Jeu</v>
      </c>
      <c r="P28" s="12"/>
      <c r="Q28" s="16">
        <v>23</v>
      </c>
      <c r="R28" s="3">
        <f t="shared" si="10"/>
        <v>46775</v>
      </c>
      <c r="S28" s="4" t="str">
        <f t="shared" si="4"/>
        <v>Dim</v>
      </c>
      <c r="T28" s="12"/>
      <c r="U28" s="16">
        <v>23</v>
      </c>
      <c r="V28" s="3">
        <f t="shared" si="11"/>
        <v>46806</v>
      </c>
      <c r="W28" s="4" t="str">
        <f t="shared" si="5"/>
        <v>Mer</v>
      </c>
      <c r="X28" s="12"/>
    </row>
    <row r="29" spans="1:24" ht="25.05" customHeight="1" x14ac:dyDescent="0.3">
      <c r="A29" s="11">
        <v>24</v>
      </c>
      <c r="B29" s="3">
        <f t="shared" si="6"/>
        <v>46654</v>
      </c>
      <c r="C29" s="24" t="str">
        <f t="shared" si="0"/>
        <v>Ven</v>
      </c>
      <c r="D29" s="12"/>
      <c r="E29" s="11">
        <v>24</v>
      </c>
      <c r="F29" s="3">
        <f t="shared" si="7"/>
        <v>46684</v>
      </c>
      <c r="G29" s="4" t="str">
        <f t="shared" si="1"/>
        <v>Dim</v>
      </c>
      <c r="H29" s="12"/>
      <c r="I29" s="16">
        <v>24</v>
      </c>
      <c r="J29" s="3">
        <f t="shared" si="8"/>
        <v>46715</v>
      </c>
      <c r="K29" s="4" t="str">
        <f t="shared" si="2"/>
        <v>Mer</v>
      </c>
      <c r="L29" s="12"/>
      <c r="M29" s="16">
        <v>24</v>
      </c>
      <c r="N29" s="3">
        <f t="shared" si="9"/>
        <v>46745</v>
      </c>
      <c r="O29" s="4" t="str">
        <f t="shared" si="3"/>
        <v>Ven</v>
      </c>
      <c r="P29" s="12"/>
      <c r="Q29" s="16">
        <v>24</v>
      </c>
      <c r="R29" s="3">
        <f t="shared" si="10"/>
        <v>46776</v>
      </c>
      <c r="S29" s="4" t="str">
        <f t="shared" si="4"/>
        <v>Lun</v>
      </c>
      <c r="T29" s="12"/>
      <c r="U29" s="16">
        <v>24</v>
      </c>
      <c r="V29" s="3">
        <f t="shared" si="11"/>
        <v>46807</v>
      </c>
      <c r="W29" s="4" t="str">
        <f t="shared" si="5"/>
        <v>Jeu</v>
      </c>
      <c r="X29" s="12"/>
    </row>
    <row r="30" spans="1:24" ht="25.05" customHeight="1" x14ac:dyDescent="0.3">
      <c r="A30" s="11">
        <v>25</v>
      </c>
      <c r="B30" s="3">
        <f t="shared" si="6"/>
        <v>46655</v>
      </c>
      <c r="C30" s="24" t="str">
        <f t="shared" si="0"/>
        <v>Sam</v>
      </c>
      <c r="D30" s="12"/>
      <c r="E30" s="11">
        <v>25</v>
      </c>
      <c r="F30" s="3">
        <f t="shared" si="7"/>
        <v>46685</v>
      </c>
      <c r="G30" s="4" t="str">
        <f t="shared" si="1"/>
        <v>Lun</v>
      </c>
      <c r="H30" s="12"/>
      <c r="I30" s="16">
        <v>25</v>
      </c>
      <c r="J30" s="3">
        <f t="shared" si="8"/>
        <v>46716</v>
      </c>
      <c r="K30" s="4" t="str">
        <f t="shared" si="2"/>
        <v>Jeu</v>
      </c>
      <c r="L30" s="12"/>
      <c r="M30" s="16">
        <v>25</v>
      </c>
      <c r="N30" s="3">
        <f t="shared" si="9"/>
        <v>46746</v>
      </c>
      <c r="O30" s="4" t="str">
        <f t="shared" si="3"/>
        <v>Sam</v>
      </c>
      <c r="P30" s="12"/>
      <c r="Q30" s="16">
        <v>25</v>
      </c>
      <c r="R30" s="3">
        <f t="shared" si="10"/>
        <v>46777</v>
      </c>
      <c r="S30" s="4" t="str">
        <f t="shared" si="4"/>
        <v>Mar</v>
      </c>
      <c r="T30" s="12"/>
      <c r="U30" s="16">
        <v>25</v>
      </c>
      <c r="V30" s="3">
        <f t="shared" si="11"/>
        <v>46808</v>
      </c>
      <c r="W30" s="4" t="str">
        <f t="shared" si="5"/>
        <v>Ven</v>
      </c>
      <c r="X30" s="12"/>
    </row>
    <row r="31" spans="1:24" ht="25.05" customHeight="1" x14ac:dyDescent="0.3">
      <c r="A31" s="11">
        <v>26</v>
      </c>
      <c r="B31" s="3">
        <f t="shared" si="6"/>
        <v>46656</v>
      </c>
      <c r="C31" s="24" t="str">
        <f t="shared" si="0"/>
        <v>Dim</v>
      </c>
      <c r="D31" s="12"/>
      <c r="E31" s="11">
        <v>26</v>
      </c>
      <c r="F31" s="3">
        <f t="shared" si="7"/>
        <v>46686</v>
      </c>
      <c r="G31" s="4" t="str">
        <f t="shared" si="1"/>
        <v>Mar</v>
      </c>
      <c r="H31" s="12"/>
      <c r="I31" s="16">
        <v>26</v>
      </c>
      <c r="J31" s="3">
        <f t="shared" si="8"/>
        <v>46717</v>
      </c>
      <c r="K31" s="4" t="str">
        <f t="shared" si="2"/>
        <v>Ven</v>
      </c>
      <c r="L31" s="12"/>
      <c r="M31" s="16">
        <v>26</v>
      </c>
      <c r="N31" s="3">
        <f t="shared" si="9"/>
        <v>46747</v>
      </c>
      <c r="O31" s="4" t="str">
        <f t="shared" si="3"/>
        <v>Dim</v>
      </c>
      <c r="P31" s="12"/>
      <c r="Q31" s="16">
        <v>26</v>
      </c>
      <c r="R31" s="3">
        <f t="shared" si="10"/>
        <v>46778</v>
      </c>
      <c r="S31" s="4" t="str">
        <f t="shared" si="4"/>
        <v>Mer</v>
      </c>
      <c r="T31" s="12"/>
      <c r="U31" s="16">
        <v>26</v>
      </c>
      <c r="V31" s="3">
        <f t="shared" si="11"/>
        <v>46809</v>
      </c>
      <c r="W31" s="4" t="str">
        <f t="shared" si="5"/>
        <v>Sam</v>
      </c>
      <c r="X31" s="12"/>
    </row>
    <row r="32" spans="1:24" ht="25.05" customHeight="1" x14ac:dyDescent="0.3">
      <c r="A32" s="11">
        <v>27</v>
      </c>
      <c r="B32" s="3">
        <f t="shared" si="6"/>
        <v>46657</v>
      </c>
      <c r="C32" s="24" t="str">
        <f t="shared" si="0"/>
        <v>Lun</v>
      </c>
      <c r="D32" s="12"/>
      <c r="E32" s="11">
        <v>27</v>
      </c>
      <c r="F32" s="3">
        <f t="shared" si="7"/>
        <v>46687</v>
      </c>
      <c r="G32" s="4" t="str">
        <f t="shared" si="1"/>
        <v>Mer</v>
      </c>
      <c r="H32" s="12"/>
      <c r="I32" s="16">
        <v>27</v>
      </c>
      <c r="J32" s="3">
        <f t="shared" si="8"/>
        <v>46718</v>
      </c>
      <c r="K32" s="4" t="str">
        <f t="shared" si="2"/>
        <v>Sam</v>
      </c>
      <c r="L32" s="12"/>
      <c r="M32" s="16">
        <v>27</v>
      </c>
      <c r="N32" s="3">
        <f t="shared" si="9"/>
        <v>46748</v>
      </c>
      <c r="O32" s="4" t="str">
        <f t="shared" si="3"/>
        <v>Lun</v>
      </c>
      <c r="P32" s="12"/>
      <c r="Q32" s="16">
        <v>27</v>
      </c>
      <c r="R32" s="3">
        <f t="shared" si="10"/>
        <v>46779</v>
      </c>
      <c r="S32" s="4" t="str">
        <f t="shared" si="4"/>
        <v>Jeu</v>
      </c>
      <c r="T32" s="12"/>
      <c r="U32" s="16">
        <v>27</v>
      </c>
      <c r="V32" s="3">
        <f t="shared" si="11"/>
        <v>46810</v>
      </c>
      <c r="W32" s="4" t="str">
        <f t="shared" si="5"/>
        <v>Dim</v>
      </c>
      <c r="X32" s="12"/>
    </row>
    <row r="33" spans="1:24" ht="25.05" customHeight="1" x14ac:dyDescent="0.3">
      <c r="A33" s="11">
        <v>28</v>
      </c>
      <c r="B33" s="3">
        <f t="shared" si="6"/>
        <v>46658</v>
      </c>
      <c r="C33" s="24" t="str">
        <f t="shared" si="0"/>
        <v>Mar</v>
      </c>
      <c r="D33" s="12"/>
      <c r="E33" s="11">
        <v>28</v>
      </c>
      <c r="F33" s="3">
        <f t="shared" si="7"/>
        <v>46688</v>
      </c>
      <c r="G33" s="4" t="str">
        <f t="shared" si="1"/>
        <v>Jeu</v>
      </c>
      <c r="H33" s="12"/>
      <c r="I33" s="16">
        <v>28</v>
      </c>
      <c r="J33" s="3">
        <f t="shared" si="8"/>
        <v>46719</v>
      </c>
      <c r="K33" s="4" t="str">
        <f t="shared" si="2"/>
        <v>Dim</v>
      </c>
      <c r="L33" s="12"/>
      <c r="M33" s="16">
        <v>28</v>
      </c>
      <c r="N33" s="3">
        <f t="shared" si="9"/>
        <v>46749</v>
      </c>
      <c r="O33" s="4" t="str">
        <f t="shared" si="3"/>
        <v>Mar</v>
      </c>
      <c r="P33" s="12"/>
      <c r="Q33" s="16">
        <v>28</v>
      </c>
      <c r="R33" s="3">
        <f t="shared" si="10"/>
        <v>46780</v>
      </c>
      <c r="S33" s="4" t="str">
        <f t="shared" si="4"/>
        <v>Ven</v>
      </c>
      <c r="T33" s="12"/>
      <c r="U33" s="16">
        <v>28</v>
      </c>
      <c r="V33" s="3">
        <f t="shared" si="11"/>
        <v>46811</v>
      </c>
      <c r="W33" s="4" t="str">
        <f t="shared" si="5"/>
        <v>Lun</v>
      </c>
      <c r="X33" s="12"/>
    </row>
    <row r="34" spans="1:24" ht="25.05" customHeight="1" x14ac:dyDescent="0.3">
      <c r="A34" s="11">
        <v>29</v>
      </c>
      <c r="B34" s="3">
        <f t="shared" si="6"/>
        <v>46659</v>
      </c>
      <c r="C34" s="24" t="str">
        <f t="shared" si="0"/>
        <v>Mer</v>
      </c>
      <c r="D34" s="12"/>
      <c r="E34" s="11">
        <v>29</v>
      </c>
      <c r="F34" s="3">
        <f t="shared" si="7"/>
        <v>46689</v>
      </c>
      <c r="G34" s="4" t="str">
        <f t="shared" si="1"/>
        <v>Ven</v>
      </c>
      <c r="H34" s="12"/>
      <c r="I34" s="16">
        <v>29</v>
      </c>
      <c r="J34" s="3">
        <f t="shared" si="8"/>
        <v>46720</v>
      </c>
      <c r="K34" s="4" t="str">
        <f t="shared" si="2"/>
        <v>Lun</v>
      </c>
      <c r="L34" s="12"/>
      <c r="M34" s="16">
        <v>29</v>
      </c>
      <c r="N34" s="3">
        <f t="shared" si="9"/>
        <v>46750</v>
      </c>
      <c r="O34" s="4" t="str">
        <f t="shared" si="3"/>
        <v>Mer</v>
      </c>
      <c r="P34" s="12"/>
      <c r="Q34" s="16">
        <v>29</v>
      </c>
      <c r="R34" s="3">
        <f t="shared" si="10"/>
        <v>46781</v>
      </c>
      <c r="S34" s="4" t="str">
        <f t="shared" si="4"/>
        <v>Sam</v>
      </c>
      <c r="T34" s="12"/>
      <c r="U34" s="16">
        <v>29</v>
      </c>
      <c r="V34" s="3">
        <f t="shared" si="11"/>
        <v>46812</v>
      </c>
      <c r="W34" s="4" t="str">
        <f t="shared" si="5"/>
        <v>Mar</v>
      </c>
      <c r="X34" s="12"/>
    </row>
    <row r="35" spans="1:24" ht="25.05" customHeight="1" x14ac:dyDescent="0.3">
      <c r="A35" s="11">
        <v>30</v>
      </c>
      <c r="B35" s="3">
        <f t="shared" si="6"/>
        <v>46660</v>
      </c>
      <c r="C35" s="24" t="str">
        <f t="shared" si="0"/>
        <v>Jeu</v>
      </c>
      <c r="D35" s="12"/>
      <c r="E35" s="11">
        <v>30</v>
      </c>
      <c r="F35" s="3">
        <f t="shared" si="7"/>
        <v>46690</v>
      </c>
      <c r="G35" s="4" t="str">
        <f t="shared" si="1"/>
        <v>Sam</v>
      </c>
      <c r="H35" s="12"/>
      <c r="I35" s="16">
        <v>30</v>
      </c>
      <c r="J35" s="3">
        <f t="shared" si="8"/>
        <v>46721</v>
      </c>
      <c r="K35" s="4" t="str">
        <f t="shared" si="2"/>
        <v>Mar</v>
      </c>
      <c r="L35" s="12"/>
      <c r="M35" s="16">
        <v>30</v>
      </c>
      <c r="N35" s="3">
        <f t="shared" si="9"/>
        <v>46751</v>
      </c>
      <c r="O35" s="4" t="str">
        <f t="shared" si="3"/>
        <v>Jeu</v>
      </c>
      <c r="P35" s="12"/>
      <c r="Q35" s="16">
        <v>30</v>
      </c>
      <c r="R35" s="3">
        <f t="shared" si="10"/>
        <v>46782</v>
      </c>
      <c r="S35" s="4" t="str">
        <f t="shared" si="4"/>
        <v>Dim</v>
      </c>
      <c r="T35" s="12"/>
      <c r="U35" s="16" t="s">
        <v>0</v>
      </c>
      <c r="V35" s="3">
        <f t="shared" si="11"/>
        <v>46813</v>
      </c>
      <c r="W35" s="4" t="str">
        <f t="shared" si="5"/>
        <v xml:space="preserve"> </v>
      </c>
      <c r="X35" s="12" t="s">
        <v>0</v>
      </c>
    </row>
    <row r="36" spans="1:24" ht="25.05" customHeight="1" thickBot="1" x14ac:dyDescent="0.35">
      <c r="A36" s="13" t="s">
        <v>0</v>
      </c>
      <c r="B36" s="14">
        <f t="shared" si="6"/>
        <v>46661</v>
      </c>
      <c r="C36" s="24" t="str">
        <f t="shared" si="0"/>
        <v xml:space="preserve"> </v>
      </c>
      <c r="D36" s="15" t="s">
        <v>0</v>
      </c>
      <c r="E36" s="13">
        <v>31</v>
      </c>
      <c r="F36" s="14">
        <f t="shared" si="7"/>
        <v>46691</v>
      </c>
      <c r="G36" s="4" t="str">
        <f t="shared" si="1"/>
        <v>Dim</v>
      </c>
      <c r="H36" s="15"/>
      <c r="I36" s="17" t="s">
        <v>0</v>
      </c>
      <c r="J36" s="14">
        <f t="shared" si="8"/>
        <v>46722</v>
      </c>
      <c r="K36" s="4" t="str">
        <f t="shared" si="2"/>
        <v xml:space="preserve"> </v>
      </c>
      <c r="L36" s="15" t="s">
        <v>0</v>
      </c>
      <c r="M36" s="17">
        <v>31</v>
      </c>
      <c r="N36" s="14">
        <f t="shared" si="9"/>
        <v>46752</v>
      </c>
      <c r="O36" s="4" t="str">
        <f t="shared" si="3"/>
        <v>Ven</v>
      </c>
      <c r="P36" s="15"/>
      <c r="Q36" s="17">
        <v>31</v>
      </c>
      <c r="R36" s="14">
        <f t="shared" si="10"/>
        <v>46783</v>
      </c>
      <c r="S36" s="4" t="str">
        <f t="shared" si="4"/>
        <v>Lun</v>
      </c>
      <c r="T36" s="15"/>
      <c r="U36" s="17" t="s">
        <v>0</v>
      </c>
      <c r="V36" s="14">
        <f t="shared" si="11"/>
        <v>46814</v>
      </c>
      <c r="W36" s="4" t="str">
        <f t="shared" si="5"/>
        <v xml:space="preserve"> </v>
      </c>
      <c r="X36" s="15" t="s">
        <v>0</v>
      </c>
    </row>
  </sheetData>
  <mergeCells count="7">
    <mergeCell ref="U5:X5"/>
    <mergeCell ref="S2:T2"/>
    <mergeCell ref="A5:D5"/>
    <mergeCell ref="E5:H5"/>
    <mergeCell ref="I5:L5"/>
    <mergeCell ref="M5:P5"/>
    <mergeCell ref="Q5:T5"/>
  </mergeCells>
  <conditionalFormatting sqref="C6:C36">
    <cfRule type="cellIs" dxfId="18" priority="25" operator="equal">
      <formula>"dim"</formula>
    </cfRule>
  </conditionalFormatting>
  <conditionalFormatting sqref="G6">
    <cfRule type="cellIs" dxfId="17" priority="24" operator="equal">
      <formula>"dim"</formula>
    </cfRule>
  </conditionalFormatting>
  <conditionalFormatting sqref="W7:W36">
    <cfRule type="cellIs" dxfId="16" priority="1" operator="equal">
      <formula>"dim"</formula>
    </cfRule>
  </conditionalFormatting>
  <conditionalFormatting sqref="D7:D12 D14:D36">
    <cfRule type="cellIs" dxfId="15" priority="21" operator="equal">
      <formula>"dim"</formula>
    </cfRule>
  </conditionalFormatting>
  <conditionalFormatting sqref="D13">
    <cfRule type="cellIs" dxfId="14" priority="20" operator="equal">
      <formula>"dim"</formula>
    </cfRule>
  </conditionalFormatting>
  <conditionalFormatting sqref="E13">
    <cfRule type="cellIs" dxfId="13" priority="19" operator="equal">
      <formula>"dim"</formula>
    </cfRule>
  </conditionalFormatting>
  <conditionalFormatting sqref="D6">
    <cfRule type="cellIs" dxfId="12" priority="17" operator="equal">
      <formula>"dim"</formula>
    </cfRule>
  </conditionalFormatting>
  <conditionalFormatting sqref="S7:S36">
    <cfRule type="cellIs" dxfId="11" priority="4" operator="equal">
      <formula>"dim"</formula>
    </cfRule>
  </conditionalFormatting>
  <conditionalFormatting sqref="W6">
    <cfRule type="cellIs" dxfId="10" priority="3" operator="equal">
      <formula>"dim"</formula>
    </cfRule>
  </conditionalFormatting>
  <conditionalFormatting sqref="G7:G36">
    <cfRule type="cellIs" dxfId="9" priority="13" operator="equal">
      <formula>"dim"</formula>
    </cfRule>
  </conditionalFormatting>
  <conditionalFormatting sqref="K6">
    <cfRule type="cellIs" dxfId="8" priority="12" operator="equal">
      <formula>"dim"</formula>
    </cfRule>
  </conditionalFormatting>
  <conditionalFormatting sqref="I13">
    <cfRule type="cellIs" dxfId="7" priority="11" operator="equal">
      <formula>"dim"</formula>
    </cfRule>
  </conditionalFormatting>
  <conditionalFormatting sqref="K7:K36">
    <cfRule type="cellIs" dxfId="6" priority="10" operator="equal">
      <formula>"dim"</formula>
    </cfRule>
  </conditionalFormatting>
  <conditionalFormatting sqref="O6">
    <cfRule type="cellIs" dxfId="5" priority="9" operator="equal">
      <formula>"dim"</formula>
    </cfRule>
  </conditionalFormatting>
  <conditionalFormatting sqref="M13">
    <cfRule type="cellIs" dxfId="4" priority="8" operator="equal">
      <formula>"dim"</formula>
    </cfRule>
  </conditionalFormatting>
  <conditionalFormatting sqref="O7:O36">
    <cfRule type="cellIs" dxfId="3" priority="7" operator="equal">
      <formula>"dim"</formula>
    </cfRule>
  </conditionalFormatting>
  <conditionalFormatting sqref="S6">
    <cfRule type="cellIs" dxfId="2" priority="6" operator="equal">
      <formula>"dim"</formula>
    </cfRule>
  </conditionalFormatting>
  <conditionalFormatting sqref="Q13">
    <cfRule type="cellIs" dxfId="1" priority="5" operator="equal">
      <formula>"dim"</formula>
    </cfRule>
  </conditionalFormatting>
  <conditionalFormatting sqref="U13">
    <cfRule type="cellIs" dxfId="0" priority="2" operator="equal">
      <formula>"dim"</formula>
    </cfRule>
  </conditionalFormatting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&amp;C&amp;G</oddHeader>
    <oddFooter>&amp;L
&amp;C&amp;F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uil1.FInir">
                <anchor moveWithCells="1" sizeWithCells="1">
                  <from>
                    <xdr:col>0</xdr:col>
                    <xdr:colOff>236220</xdr:colOff>
                    <xdr:row>0</xdr:row>
                    <xdr:rowOff>175260</xdr:rowOff>
                  </from>
                  <to>
                    <xdr:col>3</xdr:col>
                    <xdr:colOff>1257300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zoomScaleNormal="100" workbookViewId="0"/>
  </sheetViews>
  <sheetFormatPr baseColWidth="10" defaultRowHeight="14.4" x14ac:dyDescent="0.3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Feuil1</vt:lpstr>
      <vt:lpstr>Feuil2</vt:lpstr>
      <vt:lpstr>Feuil3</vt:lpstr>
      <vt:lpstr>mois1</vt:lpstr>
      <vt:lpstr>mois2</vt:lpstr>
      <vt:lpstr>mois3</vt:lpstr>
      <vt:lpstr>mois4</vt:lpstr>
      <vt:lpstr>mois5</vt:lpstr>
      <vt:lpstr>mois6</vt:lpstr>
      <vt:lpstr>Feuil1!Zone_d_impression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Budoc53 GG</dc:creator>
  <cp:lastModifiedBy>Budoc53 GG</cp:lastModifiedBy>
  <cp:lastPrinted>2024-05-18T20:30:54Z</cp:lastPrinted>
  <dcterms:created xsi:type="dcterms:W3CDTF">2024-05-17T13:23:15Z</dcterms:created>
  <dcterms:modified xsi:type="dcterms:W3CDTF">2024-05-18T20:31:09Z</dcterms:modified>
</cp:coreProperties>
</file>